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假设与输入" sheetId="2" state="visible" r:id="rId2"/>
    <sheet xmlns:r="http://schemas.openxmlformats.org/officeDocument/2006/relationships" name="收入明细" sheetId="3" state="visible" r:id="rId3"/>
    <sheet xmlns:r="http://schemas.openxmlformats.org/officeDocument/2006/relationships" name="成本明细" sheetId="4" state="visible" r:id="rId4"/>
    <sheet xmlns:r="http://schemas.openxmlformats.org/officeDocument/2006/relationships" name="毛利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;-"/>
    <numFmt numFmtId="165" formatCode="¥#,##0;(¥#,##0);-"/>
    <numFmt numFmtId="166" formatCode="#,##0.##"/>
    <numFmt numFmtId="167" formatCode="¥#,##0.00;(¥#,##0.00);-"/>
    <numFmt numFmtId="168" formatCode="#,##0.#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1F3864"/>
      <sz val="11"/>
    </font>
    <font>
      <name val="Arial"/>
      <b val="1"/>
    </font>
    <font>
      <name val="Arial"/>
    </font>
    <font>
      <name val="Arial"/>
      <b val="1"/>
      <color rgb="000000FF"/>
    </font>
    <font>
      <name val="Arial"/>
      <b val="1"/>
      <color rgb="00008000"/>
    </font>
    <font>
      <name val="Arial"/>
      <b val="1"/>
      <color rgb="00FFFFFF"/>
      <sz val="11"/>
    </font>
    <font>
      <name val="Arial"/>
      <color rgb="000000FF"/>
    </font>
    <font>
      <name val="Arial"/>
      <color rgb="00808080"/>
      <sz val="9"/>
    </font>
    <font>
      <name val="Arial"/>
      <color rgb="00808080"/>
    </font>
    <font>
      <name val="Arial"/>
      <color rgb="0000800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0" pivotButton="0" quotePrefix="0" xfId="0"/>
    <xf numFmtId="3" fontId="8" fillId="0" borderId="1" pivotButton="0" quotePrefix="0" xfId="0"/>
    <xf numFmtId="164" fontId="8" fillId="2" borderId="1" pivotButton="0" quotePrefix="0" xfId="0"/>
    <xf numFmtId="165" fontId="8" fillId="2" borderId="1" pivotButton="0" quotePrefix="0" xfId="0"/>
    <xf numFmtId="165" fontId="8" fillId="0" borderId="1" pivotButton="0" quotePrefix="0" xfId="0"/>
    <xf numFmtId="164" fontId="8" fillId="0" borderId="1" pivotButton="0" quotePrefix="0" xfId="0"/>
    <xf numFmtId="0" fontId="10" fillId="0" borderId="0" applyAlignment="1" pivotButton="0" quotePrefix="0" xfId="0">
      <alignment horizontal="center"/>
    </xf>
    <xf numFmtId="166" fontId="8" fillId="0" borderId="1" pivotButton="0" quotePrefix="0" xfId="0"/>
    <xf numFmtId="167" fontId="8" fillId="0" borderId="1" pivotButton="0" quotePrefix="0" xfId="0"/>
    <xf numFmtId="167" fontId="4" fillId="0" borderId="1" pivotButton="0" quotePrefix="0" xfId="0"/>
    <xf numFmtId="167" fontId="11" fillId="0" borderId="1" pivotButton="0" quotePrefix="0" xfId="0"/>
    <xf numFmtId="0" fontId="9" fillId="0" borderId="1" pivotButton="0" quotePrefix="0" xfId="0"/>
    <xf numFmtId="0" fontId="3" fillId="4" borderId="0" applyAlignment="1" pivotButton="0" quotePrefix="0" xfId="0">
      <alignment horizontal="right"/>
    </xf>
    <xf numFmtId="167" fontId="3" fillId="4" borderId="1" pivotButton="0" quotePrefix="0" xfId="0"/>
    <xf numFmtId="165" fontId="11" fillId="0" borderId="1" pivotButton="0" quotePrefix="0" xfId="0"/>
    <xf numFmtId="168" fontId="8" fillId="0" borderId="1" pivotButton="0" quotePrefix="0" xfId="0"/>
    <xf numFmtId="167" fontId="3" fillId="5" borderId="1" pivotButton="0" quotePrefix="0" xfId="0"/>
    <xf numFmtId="164" fontId="4" fillId="0" borderId="1" pivotButton="0" quotePrefix="0" xfId="0"/>
    <xf numFmtId="167" fontId="4" fillId="6" borderId="1" pivotButton="0" quotePrefix="0" xfId="0"/>
    <xf numFmtId="0" fontId="12" fillId="0" borderId="0" pivotButton="0" quotePrefix="0" xfId="0"/>
    <xf numFmtId="164" fontId="12" fillId="6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模板</author>
  </authors>
  <commentList>
    <comment ref="C13" authorId="0" shapeId="0">
      <text>
        <t>整体折扣率:作用于【收入明细】每一行的标准报价。
来源:用户输入 / 商务政策。</t>
      </text>
    </comment>
    <comment ref="C14" authorId="0" shapeId="0">
      <text>
        <t>公司毛利红线:示例值 30%,请按贵司实际政策修改。
来源:用户输入。</t>
      </text>
    </comment>
    <comment ref="C15" authorId="0" shapeId="0">
      <text>
        <t>人天成本为示例值,请替换为贵司实际内部成本口径。
来源:用户输入。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>
      <c r="B1" s="1" t="inlineStr">
        <is>
          <t>售前毛利测算模板 · 使用说明</t>
        </is>
      </c>
    </row>
    <row r="4">
      <c r="B4" s="2" t="inlineStr">
        <is>
          <t>颜色约定(重要)</t>
        </is>
      </c>
    </row>
    <row r="5">
      <c r="B5" s="3" t="inlineStr">
        <is>
          <t>蓝色字</t>
        </is>
      </c>
      <c r="C5" s="4" t="inlineStr">
        <is>
          <t>你要填的输入值 / 可调杠杆。只改蓝色单元格。</t>
        </is>
      </c>
    </row>
    <row r="6">
      <c r="B6" s="5" t="inlineStr">
        <is>
          <t>黑色字</t>
        </is>
      </c>
      <c r="C6" s="4" t="inlineStr">
        <is>
          <t>公式自动计算,请勿手改,改了就断了。</t>
        </is>
      </c>
    </row>
    <row r="7">
      <c r="B7" s="6" t="inlineStr">
        <is>
          <t>绿色字</t>
        </is>
      </c>
      <c r="C7" s="4" t="inlineStr">
        <is>
          <t>从其他工作表引用过来的值。</t>
        </is>
      </c>
    </row>
    <row r="8">
      <c r="B8" s="3" t="inlineStr">
        <is>
          <t>黄色底</t>
        </is>
      </c>
      <c r="C8" s="4" t="inlineStr">
        <is>
          <t>关键假设,务必逐项确认。</t>
        </is>
      </c>
    </row>
    <row r="10">
      <c r="B10" s="7" t="inlineStr">
        <is>
          <t>工作表结构</t>
        </is>
      </c>
    </row>
    <row r="11">
      <c r="B11" s="3" t="inlineStr">
        <is>
          <t>1. 说明</t>
        </is>
      </c>
      <c r="C11" s="4" t="inlineStr">
        <is>
          <t>本页。</t>
        </is>
      </c>
    </row>
    <row r="12">
      <c r="B12" s="3" t="inlineStr">
        <is>
          <t>2. 假设与输入</t>
        </is>
      </c>
      <c r="C12" s="4" t="inlineStr">
        <is>
          <t>全局假设:税率、人天成本、折扣、风险预留等。测算的总开关。</t>
        </is>
      </c>
    </row>
    <row r="13">
      <c r="B13" s="3" t="inlineStr">
        <is>
          <t>3. 收入明细</t>
        </is>
      </c>
      <c r="C13" s="4" t="inlineStr">
        <is>
          <t>按行填报价项(软件/硬件/服务/运维),自动算收入合计。</t>
        </is>
      </c>
    </row>
    <row r="14">
      <c r="B14" s="3" t="inlineStr">
        <is>
          <t>4. 成本明细</t>
        </is>
      </c>
      <c r="C14" s="4" t="inlineStr">
        <is>
          <t>对应成本:采购成本、人力投入、差旅、第三方等。</t>
        </is>
      </c>
    </row>
    <row r="15">
      <c r="B15" s="3" t="inlineStr">
        <is>
          <t>5. 毛利汇总</t>
        </is>
      </c>
      <c r="C15" s="4" t="inlineStr">
        <is>
          <t>自动汇总:收入、成本、毛利、毛利率,并做敏感性分析。</t>
        </is>
      </c>
    </row>
    <row r="17">
      <c r="B17" s="7" t="inlineStr">
        <is>
          <t>使用步骤</t>
        </is>
      </c>
    </row>
    <row r="18">
      <c r="B18" s="3" t="inlineStr">
        <is>
          <t>第 1 步</t>
        </is>
      </c>
      <c r="C18" s="4" t="inlineStr">
        <is>
          <t>在【假设与输入】填项目基本信息与全局假设。</t>
        </is>
      </c>
    </row>
    <row r="19">
      <c r="B19" s="3" t="inlineStr">
        <is>
          <t>第 2 步</t>
        </is>
      </c>
      <c r="C19" s="4" t="inlineStr">
        <is>
          <t>在【收入明细】逐行填客户报价(含税或不含税见假设页开关)。</t>
        </is>
      </c>
    </row>
    <row r="20">
      <c r="B20" s="3" t="inlineStr">
        <is>
          <t>第 3 步</t>
        </is>
      </c>
      <c r="C20" s="4" t="inlineStr">
        <is>
          <t>在【成本明细】填对应成本;人力按『人天 × 人天成本』自动算。</t>
        </is>
      </c>
    </row>
    <row r="21">
      <c r="B21" s="3" t="inlineStr">
        <is>
          <t>第 4 步</t>
        </is>
      </c>
      <c r="C21" s="4" t="inlineStr">
        <is>
          <t>看【毛利汇总】:毛利率是否达到公司红线,不达标回头调折扣或成本。</t>
        </is>
      </c>
    </row>
    <row r="23">
      <c r="B23" s="7" t="inlineStr">
        <is>
          <t>注意</t>
        </is>
      </c>
    </row>
    <row r="24">
      <c r="B24" s="3" t="inlineStr">
        <is>
          <t>示例数据</t>
        </is>
      </c>
      <c r="C24" s="4" t="inlineStr">
        <is>
          <t>各明细表第一行为示例(演示填法),正式使用请覆盖或删除。</t>
        </is>
      </c>
    </row>
    <row r="25">
      <c r="B25" s="3" t="inlineStr">
        <is>
          <t>口径</t>
        </is>
      </c>
      <c r="C25" s="4" t="inlineStr">
        <is>
          <t>默认所有金额为【不含税】口径;如用含税价,请在假设页切换并留意税率处理。</t>
        </is>
      </c>
    </row>
    <row r="26">
      <c r="B26" s="3" t="inlineStr">
        <is>
          <t>免责</t>
        </is>
      </c>
      <c r="C26" s="4" t="inlineStr">
        <is>
          <t>本表为售前内部测算,最终报价以商务/财务审批为准。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50" customWidth="1" min="4" max="4"/>
  </cols>
  <sheetData>
    <row r="1">
      <c r="B1" s="1" t="inlineStr">
        <is>
          <t>假设与输入</t>
        </is>
      </c>
    </row>
    <row r="3">
      <c r="B3" s="7" t="inlineStr">
        <is>
          <t>一、项目基本信息</t>
        </is>
      </c>
    </row>
    <row r="4">
      <c r="B4" s="8" t="inlineStr">
        <is>
          <t>项目</t>
        </is>
      </c>
      <c r="C4" s="8" t="inlineStr">
        <is>
          <t>内容</t>
        </is>
      </c>
      <c r="D4" s="8" t="inlineStr">
        <is>
          <t>说明</t>
        </is>
      </c>
    </row>
    <row r="5">
      <c r="B5" s="3" t="inlineStr">
        <is>
          <t>客户名称</t>
        </is>
      </c>
      <c r="C5" s="9" t="inlineStr">
        <is>
          <t>示例:某某银行</t>
        </is>
      </c>
      <c r="D5" s="10" t="inlineStr">
        <is>
          <t>填客户全称</t>
        </is>
      </c>
    </row>
    <row r="6">
      <c r="B6" s="3" t="inlineStr">
        <is>
          <t>项目名称</t>
        </is>
      </c>
      <c r="C6" s="9" t="inlineStr">
        <is>
          <t>示例:智能客服平台一期</t>
        </is>
      </c>
      <c r="D6" s="10" t="inlineStr"/>
    </row>
    <row r="7">
      <c r="B7" s="3" t="inlineStr">
        <is>
          <t>测算日期</t>
        </is>
      </c>
      <c r="C7" s="9" t="inlineStr">
        <is>
          <t>2026-07-26</t>
        </is>
      </c>
      <c r="D7" s="10" t="inlineStr">
        <is>
          <t>本次测算的日期</t>
        </is>
      </c>
    </row>
    <row r="8">
      <c r="B8" s="3" t="inlineStr">
        <is>
          <t>售前负责人</t>
        </is>
      </c>
      <c r="C8" s="9" t="inlineStr"/>
      <c r="D8" s="10" t="inlineStr"/>
    </row>
    <row r="9">
      <c r="B9" s="3" t="inlineStr">
        <is>
          <t>项目周期(月)</t>
        </is>
      </c>
      <c r="C9" s="11" t="n">
        <v>6</v>
      </c>
      <c r="D9" s="10" t="inlineStr">
        <is>
          <t>用于人力与运维成本估算</t>
        </is>
      </c>
    </row>
    <row r="11">
      <c r="B11" s="7" t="inlineStr">
        <is>
          <t>二、全局假设(关键杠杆)</t>
        </is>
      </c>
    </row>
    <row r="12">
      <c r="B12" s="8" t="inlineStr">
        <is>
          <t>假设项</t>
        </is>
      </c>
      <c r="C12" s="8" t="inlineStr">
        <is>
          <t>取值</t>
        </is>
      </c>
      <c r="D12" s="8" t="inlineStr">
        <is>
          <t>说明</t>
        </is>
      </c>
    </row>
    <row r="13">
      <c r="B13" s="3" t="inlineStr">
        <is>
          <t>整体折扣率</t>
        </is>
      </c>
      <c r="C13" s="12" t="n">
        <v>0</v>
      </c>
      <c r="D13" s="10" t="inlineStr">
        <is>
          <t>对标准报价的整体折让,0% = 不打折</t>
        </is>
      </c>
    </row>
    <row r="14">
      <c r="B14" s="3" t="inlineStr">
        <is>
          <t>公司毛利红线</t>
        </is>
      </c>
      <c r="C14" s="12" t="n">
        <v>0.3</v>
      </c>
      <c r="D14" s="10" t="inlineStr">
        <is>
          <t>低于此毛利率需special申请</t>
        </is>
      </c>
    </row>
    <row r="15">
      <c r="B15" s="3" t="inlineStr">
        <is>
          <t>高级工程师人天成本</t>
        </is>
      </c>
      <c r="C15" s="13" t="n">
        <v>2500</v>
      </c>
      <c r="D15" s="10" t="inlineStr">
        <is>
          <t>内部成本口径(非报价)</t>
        </is>
      </c>
    </row>
    <row r="16">
      <c r="B16" s="3" t="inlineStr">
        <is>
          <t>普通工程师人天成本</t>
        </is>
      </c>
      <c r="C16" s="13" t="n">
        <v>1500</v>
      </c>
      <c r="D16" s="10" t="inlineStr">
        <is>
          <t>内部成本口径</t>
        </is>
      </c>
    </row>
    <row r="17">
      <c r="B17" s="3" t="inlineStr">
        <is>
          <t>实施/交付人天成本</t>
        </is>
      </c>
      <c r="C17" s="13" t="n">
        <v>1800</v>
      </c>
      <c r="D17" s="10" t="inlineStr">
        <is>
          <t>内部成本口径</t>
        </is>
      </c>
    </row>
    <row r="18">
      <c r="B18" s="3" t="inlineStr">
        <is>
          <t>差旅单人天成本</t>
        </is>
      </c>
      <c r="C18" s="14" t="n">
        <v>800</v>
      </c>
      <c r="D18" s="10" t="inlineStr">
        <is>
          <t>含交通住宿餐补</t>
        </is>
      </c>
    </row>
    <row r="19">
      <c r="B19" s="3" t="inlineStr">
        <is>
          <t>风险预留比例</t>
        </is>
      </c>
      <c r="C19" s="12" t="n">
        <v>0.05</v>
      </c>
      <c r="D19" s="10" t="inlineStr">
        <is>
          <t>按总成本计提,应对范围蔓延</t>
        </is>
      </c>
    </row>
    <row r="20">
      <c r="B20" s="3" t="inlineStr">
        <is>
          <t>销售费用率</t>
        </is>
      </c>
      <c r="C20" s="15" t="n">
        <v>0.03</v>
      </c>
      <c r="D20" s="10" t="inlineStr">
        <is>
          <t>按收入计提(渠道/佣金等)</t>
        </is>
      </c>
    </row>
    <row r="21">
      <c r="B21" s="3" t="inlineStr">
        <is>
          <t>增值税率</t>
        </is>
      </c>
      <c r="C21" s="15" t="n">
        <v>0.06</v>
      </c>
      <c r="D21" s="10" t="inlineStr">
        <is>
          <t>仅作参考换算,本表默认不含税口径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30" customWidth="1" min="4" max="4"/>
    <col width="10" customWidth="1" min="5" max="5"/>
    <col width="8" customWidth="1" min="6" max="6"/>
    <col width="16" customWidth="1" min="7" max="7"/>
    <col width="16" customWidth="1" min="8" max="8"/>
    <col width="16" customWidth="1" min="9" max="9"/>
    <col width="24" customWidth="1" min="10" max="10"/>
  </cols>
  <sheetData>
    <row r="1">
      <c r="B1" s="1" t="inlineStr">
        <is>
          <t>收入明细(客户报价)</t>
        </is>
      </c>
    </row>
    <row r="2">
      <c r="B2" s="10" t="inlineStr">
        <is>
          <t>蓝色为输入;标准报价 = 单价 × 数量;折后收入 = 标准报价 ×(1 − 整体折扣率)</t>
        </is>
      </c>
    </row>
    <row r="4">
      <c r="B4" s="8" t="inlineStr">
        <is>
          <t>序号</t>
        </is>
      </c>
      <c r="C4" s="8" t="inlineStr">
        <is>
          <t>类别</t>
        </is>
      </c>
      <c r="D4" s="8" t="inlineStr">
        <is>
          <t>项目/产品名称</t>
        </is>
      </c>
      <c r="E4" s="8" t="inlineStr">
        <is>
          <t>单位</t>
        </is>
      </c>
      <c r="F4" s="8" t="inlineStr">
        <is>
          <t>数量</t>
        </is>
      </c>
      <c r="G4" s="8" t="inlineStr">
        <is>
          <t>单价(不含税)</t>
        </is>
      </c>
      <c r="H4" s="8" t="inlineStr">
        <is>
          <t>标准报价</t>
        </is>
      </c>
      <c r="I4" s="8" t="inlineStr">
        <is>
          <t>折后收入</t>
        </is>
      </c>
      <c r="J4" s="8" t="inlineStr">
        <is>
          <t>备注</t>
        </is>
      </c>
    </row>
    <row r="5">
      <c r="B5" s="16" t="n">
        <v>1</v>
      </c>
      <c r="C5" s="9" t="inlineStr">
        <is>
          <t>软件许可</t>
        </is>
      </c>
      <c r="D5" s="9" t="inlineStr">
        <is>
          <t>示例:智能客服平台 标准版 License</t>
        </is>
      </c>
      <c r="E5" s="9" t="inlineStr">
        <is>
          <t>套</t>
        </is>
      </c>
      <c r="F5" s="17" t="n">
        <v>1</v>
      </c>
      <c r="G5" s="18" t="n">
        <v>800000</v>
      </c>
      <c r="H5" s="19">
        <f>IF(N(F5)*N(G5)=0,0,F5*G5)</f>
        <v/>
      </c>
      <c r="I5" s="20">
        <f>H5*(1-'假设与输入'!$C$13)</f>
        <v/>
      </c>
      <c r="J5" s="21" t="inlineStr">
        <is>
          <t>示例行,请覆盖</t>
        </is>
      </c>
    </row>
    <row r="6">
      <c r="B6" s="16" t="n">
        <v>2</v>
      </c>
      <c r="C6" s="9" t="n"/>
      <c r="D6" s="9" t="n"/>
      <c r="E6" s="9" t="n"/>
      <c r="F6" s="17" t="n"/>
      <c r="G6" s="18" t="n"/>
      <c r="H6" s="19">
        <f>IF(N(F6)*N(G6)=0,0,F6*G6)</f>
        <v/>
      </c>
      <c r="I6" s="20">
        <f>H6*(1-'假设与输入'!$C$13)</f>
        <v/>
      </c>
      <c r="J6" s="9" t="n"/>
    </row>
    <row r="7">
      <c r="B7" s="16" t="n">
        <v>3</v>
      </c>
      <c r="C7" s="9" t="n"/>
      <c r="D7" s="9" t="n"/>
      <c r="E7" s="9" t="n"/>
      <c r="F7" s="17" t="n"/>
      <c r="G7" s="18" t="n"/>
      <c r="H7" s="19">
        <f>IF(N(F7)*N(G7)=0,0,F7*G7)</f>
        <v/>
      </c>
      <c r="I7" s="20">
        <f>H7*(1-'假设与输入'!$C$13)</f>
        <v/>
      </c>
      <c r="J7" s="9" t="n"/>
    </row>
    <row r="8">
      <c r="B8" s="16" t="n">
        <v>4</v>
      </c>
      <c r="C8" s="9" t="n"/>
      <c r="D8" s="9" t="n"/>
      <c r="E8" s="9" t="n"/>
      <c r="F8" s="17" t="n"/>
      <c r="G8" s="18" t="n"/>
      <c r="H8" s="19">
        <f>IF(N(F8)*N(G8)=0,0,F8*G8)</f>
        <v/>
      </c>
      <c r="I8" s="20">
        <f>H8*(1-'假设与输入'!$C$13)</f>
        <v/>
      </c>
      <c r="J8" s="9" t="n"/>
    </row>
    <row r="9">
      <c r="B9" s="16" t="n">
        <v>5</v>
      </c>
      <c r="C9" s="9" t="n"/>
      <c r="D9" s="9" t="n"/>
      <c r="E9" s="9" t="n"/>
      <c r="F9" s="17" t="n"/>
      <c r="G9" s="18" t="n"/>
      <c r="H9" s="19">
        <f>IF(N(F9)*N(G9)=0,0,F9*G9)</f>
        <v/>
      </c>
      <c r="I9" s="20">
        <f>H9*(1-'假设与输入'!$C$13)</f>
        <v/>
      </c>
      <c r="J9" s="9" t="n"/>
    </row>
    <row r="10">
      <c r="B10" s="16" t="n">
        <v>6</v>
      </c>
      <c r="C10" s="9" t="n"/>
      <c r="D10" s="9" t="n"/>
      <c r="E10" s="9" t="n"/>
      <c r="F10" s="17" t="n"/>
      <c r="G10" s="18" t="n"/>
      <c r="H10" s="19">
        <f>IF(N(F10)*N(G10)=0,0,F10*G10)</f>
        <v/>
      </c>
      <c r="I10" s="20">
        <f>H10*(1-'假设与输入'!$C$13)</f>
        <v/>
      </c>
      <c r="J10" s="9" t="n"/>
    </row>
    <row r="11">
      <c r="B11" s="16" t="n">
        <v>7</v>
      </c>
      <c r="C11" s="9" t="n"/>
      <c r="D11" s="9" t="n"/>
      <c r="E11" s="9" t="n"/>
      <c r="F11" s="17" t="n"/>
      <c r="G11" s="18" t="n"/>
      <c r="H11" s="19">
        <f>IF(N(F11)*N(G11)=0,0,F11*G11)</f>
        <v/>
      </c>
      <c r="I11" s="20">
        <f>H11*(1-'假设与输入'!$C$13)</f>
        <v/>
      </c>
      <c r="J11" s="9" t="n"/>
    </row>
    <row r="12">
      <c r="B12" s="16" t="n">
        <v>8</v>
      </c>
      <c r="C12" s="9" t="n"/>
      <c r="D12" s="9" t="n"/>
      <c r="E12" s="9" t="n"/>
      <c r="F12" s="17" t="n"/>
      <c r="G12" s="18" t="n"/>
      <c r="H12" s="19">
        <f>IF(N(F12)*N(G12)=0,0,F12*G12)</f>
        <v/>
      </c>
      <c r="I12" s="20">
        <f>H12*(1-'假设与输入'!$C$13)</f>
        <v/>
      </c>
      <c r="J12" s="9" t="n"/>
    </row>
    <row r="13">
      <c r="B13" s="16" t="n">
        <v>9</v>
      </c>
      <c r="C13" s="9" t="n"/>
      <c r="D13" s="9" t="n"/>
      <c r="E13" s="9" t="n"/>
      <c r="F13" s="17" t="n"/>
      <c r="G13" s="18" t="n"/>
      <c r="H13" s="19">
        <f>IF(N(F13)*N(G13)=0,0,F13*G13)</f>
        <v/>
      </c>
      <c r="I13" s="20">
        <f>H13*(1-'假设与输入'!$C$13)</f>
        <v/>
      </c>
      <c r="J13" s="9" t="n"/>
    </row>
    <row r="14">
      <c r="B14" s="16" t="n">
        <v>10</v>
      </c>
      <c r="C14" s="9" t="n"/>
      <c r="D14" s="9" t="n"/>
      <c r="E14" s="9" t="n"/>
      <c r="F14" s="17" t="n"/>
      <c r="G14" s="18" t="n"/>
      <c r="H14" s="19">
        <f>IF(N(F14)*N(G14)=0,0,F14*G14)</f>
        <v/>
      </c>
      <c r="I14" s="20">
        <f>H14*(1-'假设与输入'!$C$13)</f>
        <v/>
      </c>
      <c r="J14" s="9" t="n"/>
    </row>
    <row r="15">
      <c r="B15" s="16" t="n">
        <v>11</v>
      </c>
      <c r="C15" s="9" t="n"/>
      <c r="D15" s="9" t="n"/>
      <c r="E15" s="9" t="n"/>
      <c r="F15" s="17" t="n"/>
      <c r="G15" s="18" t="n"/>
      <c r="H15" s="19">
        <f>IF(N(F15)*N(G15)=0,0,F15*G15)</f>
        <v/>
      </c>
      <c r="I15" s="20">
        <f>H15*(1-'假设与输入'!$C$13)</f>
        <v/>
      </c>
      <c r="J15" s="9" t="n"/>
    </row>
    <row r="16">
      <c r="B16" s="16" t="n">
        <v>12</v>
      </c>
      <c r="C16" s="9" t="n"/>
      <c r="D16" s="9" t="n"/>
      <c r="E16" s="9" t="n"/>
      <c r="F16" s="17" t="n"/>
      <c r="G16" s="18" t="n"/>
      <c r="H16" s="19">
        <f>IF(N(F16)*N(G16)=0,0,F16*G16)</f>
        <v/>
      </c>
      <c r="I16" s="20">
        <f>H16*(1-'假设与输入'!$C$13)</f>
        <v/>
      </c>
      <c r="J16" s="9" t="n"/>
    </row>
    <row r="17">
      <c r="B17" s="16" t="n">
        <v>13</v>
      </c>
      <c r="C17" s="9" t="n"/>
      <c r="D17" s="9" t="n"/>
      <c r="E17" s="9" t="n"/>
      <c r="F17" s="17" t="n"/>
      <c r="G17" s="18" t="n"/>
      <c r="H17" s="19">
        <f>IF(N(F17)*N(G17)=0,0,F17*G17)</f>
        <v/>
      </c>
      <c r="I17" s="20">
        <f>H17*(1-'假设与输入'!$C$13)</f>
        <v/>
      </c>
      <c r="J17" s="9" t="n"/>
    </row>
    <row r="18">
      <c r="B18" s="16" t="n">
        <v>14</v>
      </c>
      <c r="C18" s="9" t="n"/>
      <c r="D18" s="9" t="n"/>
      <c r="E18" s="9" t="n"/>
      <c r="F18" s="17" t="n"/>
      <c r="G18" s="18" t="n"/>
      <c r="H18" s="19">
        <f>IF(N(F18)*N(G18)=0,0,F18*G18)</f>
        <v/>
      </c>
      <c r="I18" s="20">
        <f>H18*(1-'假设与输入'!$C$13)</f>
        <v/>
      </c>
      <c r="J18" s="9" t="n"/>
    </row>
    <row r="19">
      <c r="B19" s="16" t="n">
        <v>15</v>
      </c>
      <c r="C19" s="9" t="n"/>
      <c r="D19" s="9" t="n"/>
      <c r="E19" s="9" t="n"/>
      <c r="F19" s="17" t="n"/>
      <c r="G19" s="18" t="n"/>
      <c r="H19" s="19">
        <f>IF(N(F19)*N(G19)=0,0,F19*G19)</f>
        <v/>
      </c>
      <c r="I19" s="20">
        <f>H19*(1-'假设与输入'!$C$13)</f>
        <v/>
      </c>
      <c r="J19" s="9" t="n"/>
    </row>
    <row r="20">
      <c r="B20" s="16" t="n">
        <v>16</v>
      </c>
      <c r="C20" s="9" t="n"/>
      <c r="D20" s="9" t="n"/>
      <c r="E20" s="9" t="n"/>
      <c r="F20" s="17" t="n"/>
      <c r="G20" s="18" t="n"/>
      <c r="H20" s="19">
        <f>IF(N(F20)*N(G20)=0,0,F20*G20)</f>
        <v/>
      </c>
      <c r="I20" s="20">
        <f>H20*(1-'假设与输入'!$C$13)</f>
        <v/>
      </c>
      <c r="J20" s="9" t="n"/>
    </row>
    <row r="21">
      <c r="B21" s="16" t="n">
        <v>17</v>
      </c>
      <c r="C21" s="9" t="n"/>
      <c r="D21" s="9" t="n"/>
      <c r="E21" s="9" t="n"/>
      <c r="F21" s="17" t="n"/>
      <c r="G21" s="18" t="n"/>
      <c r="H21" s="19">
        <f>IF(N(F21)*N(G21)=0,0,F21*G21)</f>
        <v/>
      </c>
      <c r="I21" s="20">
        <f>H21*(1-'假设与输入'!$C$13)</f>
        <v/>
      </c>
      <c r="J21" s="9" t="n"/>
    </row>
    <row r="22">
      <c r="B22" s="16" t="n">
        <v>18</v>
      </c>
      <c r="C22" s="9" t="n"/>
      <c r="D22" s="9" t="n"/>
      <c r="E22" s="9" t="n"/>
      <c r="F22" s="17" t="n"/>
      <c r="G22" s="18" t="n"/>
      <c r="H22" s="19">
        <f>IF(N(F22)*N(G22)=0,0,F22*G22)</f>
        <v/>
      </c>
      <c r="I22" s="20">
        <f>H22*(1-'假设与输入'!$C$13)</f>
        <v/>
      </c>
      <c r="J22" s="9" t="n"/>
    </row>
    <row r="23">
      <c r="B23" s="16" t="n">
        <v>19</v>
      </c>
      <c r="C23" s="9" t="n"/>
      <c r="D23" s="9" t="n"/>
      <c r="E23" s="9" t="n"/>
      <c r="F23" s="17" t="n"/>
      <c r="G23" s="18" t="n"/>
      <c r="H23" s="19">
        <f>IF(N(F23)*N(G23)=0,0,F23*G23)</f>
        <v/>
      </c>
      <c r="I23" s="20">
        <f>H23*(1-'假设与输入'!$C$13)</f>
        <v/>
      </c>
      <c r="J23" s="9" t="n"/>
    </row>
    <row r="24">
      <c r="B24" s="16" t="n">
        <v>20</v>
      </c>
      <c r="C24" s="9" t="n"/>
      <c r="D24" s="9" t="n"/>
      <c r="E24" s="9" t="n"/>
      <c r="F24" s="17" t="n"/>
      <c r="G24" s="18" t="n"/>
      <c r="H24" s="19">
        <f>IF(N(F24)*N(G24)=0,0,F24*G24)</f>
        <v/>
      </c>
      <c r="I24" s="20">
        <f>H24*(1-'假设与输入'!$C$13)</f>
        <v/>
      </c>
      <c r="J24" s="9" t="n"/>
    </row>
    <row r="25">
      <c r="B25" s="22" t="inlineStr">
        <is>
          <t>合计</t>
        </is>
      </c>
      <c r="H25" s="23">
        <f>SUM(H5:H24)</f>
        <v/>
      </c>
      <c r="I25" s="23">
        <f>SUM(I5:I24)</f>
        <v/>
      </c>
    </row>
    <row r="27">
      <c r="B27" s="10" t="inlineStr">
        <is>
          <t>类别参考:软件许可 / 硬件设备 / 实施服务 / 定制开发 / 运维服务 / 第三方产品 / 培训</t>
        </is>
      </c>
    </row>
  </sheetData>
  <mergeCells count="1">
    <mergeCell ref="B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30" customWidth="1" min="4" max="4"/>
    <col width="12" customWidth="1" min="5" max="5"/>
    <col width="10" customWidth="1" min="6" max="6"/>
    <col width="16" customWidth="1" min="7" max="7"/>
    <col width="16" customWidth="1" min="8" max="8"/>
    <col width="16" customWidth="1" min="9" max="9"/>
    <col width="24" customWidth="1" min="10" max="10"/>
  </cols>
  <sheetData>
    <row r="1">
      <c r="B1" s="1" t="inlineStr">
        <is>
          <t>成本明细(内部成本)</t>
        </is>
      </c>
    </row>
    <row r="2">
      <c r="B2" s="10" t="inlineStr">
        <is>
          <t>人力成本用【人天】填数量,单位成本从假设页自动带出;其余成本直接填金额</t>
        </is>
      </c>
    </row>
    <row r="4">
      <c r="B4" s="7" t="inlineStr">
        <is>
          <t>A. 人力成本</t>
        </is>
      </c>
    </row>
    <row r="5">
      <c r="B5" s="8" t="inlineStr">
        <is>
          <t>序号</t>
        </is>
      </c>
      <c r="C5" s="8" t="inlineStr">
        <is>
          <t>角色</t>
        </is>
      </c>
      <c r="D5" s="8" t="inlineStr">
        <is>
          <t>工作内容</t>
        </is>
      </c>
      <c r="E5" s="8" t="inlineStr">
        <is>
          <t>人天单价</t>
        </is>
      </c>
      <c r="F5" s="8" t="inlineStr">
        <is>
          <t>人天数</t>
        </is>
      </c>
      <c r="G5" s="8" t="inlineStr">
        <is>
          <t>小计</t>
        </is>
      </c>
      <c r="H5" s="8" t="inlineStr">
        <is>
          <t>备注</t>
        </is>
      </c>
    </row>
    <row r="6">
      <c r="B6" s="16" t="n">
        <v>1</v>
      </c>
      <c r="C6" s="9" t="inlineStr">
        <is>
          <t>高级工程师</t>
        </is>
      </c>
      <c r="D6" s="9" t="inlineStr">
        <is>
          <t>示例:方案设计与架构</t>
        </is>
      </c>
      <c r="E6" s="24">
        <f>IF(C6="高级工程师",'假设与输入'!$C$15,IF(C6="普通工程师",'假设与输入'!$C$16,IF(C6="实施/交付",'假设与输入'!$C$17,0)))</f>
        <v/>
      </c>
      <c r="F6" s="25" t="n">
        <v>30</v>
      </c>
      <c r="G6" s="19">
        <f>E6*N(F6)</f>
        <v/>
      </c>
      <c r="H6" s="21" t="inlineStr">
        <is>
          <t>示例行,请覆盖</t>
        </is>
      </c>
    </row>
    <row r="7">
      <c r="B7" s="16" t="n">
        <v>2</v>
      </c>
      <c r="C7" s="9" t="inlineStr">
        <is>
          <t>普通工程师</t>
        </is>
      </c>
      <c r="D7" s="9" t="n"/>
      <c r="E7" s="24">
        <f>IF(C7="高级工程师",'假设与输入'!$C$15,IF(C7="普通工程师",'假设与输入'!$C$16,IF(C7="实施/交付",'假设与输入'!$C$17,0)))</f>
        <v/>
      </c>
      <c r="F7" s="25" t="n"/>
      <c r="G7" s="19">
        <f>E7*N(F7)</f>
        <v/>
      </c>
      <c r="H7" s="9" t="n"/>
    </row>
    <row r="8">
      <c r="B8" s="16" t="n">
        <v>3</v>
      </c>
      <c r="C8" s="9" t="inlineStr">
        <is>
          <t>实施/交付</t>
        </is>
      </c>
      <c r="D8" s="9" t="n"/>
      <c r="E8" s="24">
        <f>IF(C8="高级工程师",'假设与输入'!$C$15,IF(C8="普通工程师",'假设与输入'!$C$16,IF(C8="实施/交付",'假设与输入'!$C$17,0)))</f>
        <v/>
      </c>
      <c r="F8" s="25" t="n"/>
      <c r="G8" s="19">
        <f>E8*N(F8)</f>
        <v/>
      </c>
      <c r="H8" s="9" t="n"/>
    </row>
    <row r="9">
      <c r="B9" s="16" t="n">
        <v>4</v>
      </c>
      <c r="C9" s="9" t="n"/>
      <c r="D9" s="9" t="n"/>
      <c r="E9" s="24">
        <f>IF(C9="高级工程师",'假设与输入'!$C$15,IF(C9="普通工程师",'假设与输入'!$C$16,IF(C9="实施/交付",'假设与输入'!$C$17,0)))</f>
        <v/>
      </c>
      <c r="F9" s="25" t="n"/>
      <c r="G9" s="19">
        <f>E9*N(F9)</f>
        <v/>
      </c>
      <c r="H9" s="9" t="n"/>
    </row>
    <row r="10">
      <c r="B10" s="16" t="n">
        <v>5</v>
      </c>
      <c r="C10" s="9" t="n"/>
      <c r="D10" s="9" t="n"/>
      <c r="E10" s="24">
        <f>IF(C10="高级工程师",'假设与输入'!$C$15,IF(C10="普通工程师",'假设与输入'!$C$16,IF(C10="实施/交付",'假设与输入'!$C$17,0)))</f>
        <v/>
      </c>
      <c r="F10" s="25" t="n"/>
      <c r="G10" s="19">
        <f>E10*N(F10)</f>
        <v/>
      </c>
      <c r="H10" s="9" t="n"/>
    </row>
    <row r="11">
      <c r="B11" s="16" t="n">
        <v>6</v>
      </c>
      <c r="C11" s="9" t="n"/>
      <c r="D11" s="9" t="n"/>
      <c r="E11" s="24">
        <f>IF(C11="高级工程师",'假设与输入'!$C$15,IF(C11="普通工程师",'假设与输入'!$C$16,IF(C11="实施/交付",'假设与输入'!$C$17,0)))</f>
        <v/>
      </c>
      <c r="F11" s="25" t="n"/>
      <c r="G11" s="19">
        <f>E11*N(F11)</f>
        <v/>
      </c>
      <c r="H11" s="9" t="n"/>
    </row>
    <row r="12">
      <c r="B12" s="16" t="n">
        <v>7</v>
      </c>
      <c r="C12" s="9" t="n"/>
      <c r="D12" s="9" t="n"/>
      <c r="E12" s="24">
        <f>IF(C12="高级工程师",'假设与输入'!$C$15,IF(C12="普通工程师",'假设与输入'!$C$16,IF(C12="实施/交付",'假设与输入'!$C$17,0)))</f>
        <v/>
      </c>
      <c r="F12" s="25" t="n"/>
      <c r="G12" s="19">
        <f>E12*N(F12)</f>
        <v/>
      </c>
      <c r="H12" s="9" t="n"/>
    </row>
    <row r="13">
      <c r="B13" s="16" t="n">
        <v>8</v>
      </c>
      <c r="C13" s="9" t="n"/>
      <c r="D13" s="9" t="n"/>
      <c r="E13" s="24">
        <f>IF(C13="高级工程师",'假设与输入'!$C$15,IF(C13="普通工程师",'假设与输入'!$C$16,IF(C13="实施/交付",'假设与输入'!$C$17,0)))</f>
        <v/>
      </c>
      <c r="F13" s="25" t="n"/>
      <c r="G13" s="19">
        <f>E13*N(F13)</f>
        <v/>
      </c>
      <c r="H13" s="9" t="n"/>
    </row>
    <row r="14">
      <c r="B14" s="22" t="inlineStr">
        <is>
          <t>人力成本小计</t>
        </is>
      </c>
      <c r="G14" s="23">
        <f>SUM(G6:G13)</f>
        <v/>
      </c>
    </row>
    <row r="16">
      <c r="B16" s="7" t="inlineStr">
        <is>
          <t>B. 其他直接成本</t>
        </is>
      </c>
    </row>
    <row r="17">
      <c r="B17" s="8" t="inlineStr">
        <is>
          <t>序号</t>
        </is>
      </c>
      <c r="C17" s="8" t="inlineStr">
        <is>
          <t>类别</t>
        </is>
      </c>
      <c r="D17" s="8" t="inlineStr">
        <is>
          <t>说明</t>
        </is>
      </c>
      <c r="E17" s="8" t="inlineStr">
        <is>
          <t>数量</t>
        </is>
      </c>
      <c r="F17" s="8" t="inlineStr">
        <is>
          <t>单价</t>
        </is>
      </c>
      <c r="G17" s="8" t="inlineStr">
        <is>
          <t>小计</t>
        </is>
      </c>
      <c r="H17" s="8" t="inlineStr">
        <is>
          <t>备注</t>
        </is>
      </c>
    </row>
    <row r="18">
      <c r="B18" s="16" t="n">
        <v>1</v>
      </c>
      <c r="C18" s="9" t="inlineStr">
        <is>
          <t>硬件采购</t>
        </is>
      </c>
      <c r="D18" s="9" t="inlineStr">
        <is>
          <t>示例:GPU 服务器</t>
        </is>
      </c>
      <c r="E18" s="17" t="n">
        <v>2</v>
      </c>
      <c r="F18" s="18" t="n">
        <v>120000</v>
      </c>
      <c r="G18" s="19">
        <f>IF(N(E18)*N(F18)=0,0,E18*F18)</f>
        <v/>
      </c>
      <c r="H18" s="21" t="inlineStr">
        <is>
          <t>示例行,请覆盖</t>
        </is>
      </c>
    </row>
    <row r="19">
      <c r="B19" s="16" t="n">
        <v>2</v>
      </c>
      <c r="C19" s="9" t="inlineStr">
        <is>
          <t>第三方软件/License</t>
        </is>
      </c>
      <c r="D19" s="9" t="n"/>
      <c r="E19" s="17" t="n"/>
      <c r="F19" s="18" t="n"/>
      <c r="G19" s="19">
        <f>IF(N(E19)*N(F19)=0,0,E19*F19)</f>
        <v/>
      </c>
      <c r="H19" s="9" t="n"/>
    </row>
    <row r="20">
      <c r="B20" s="16" t="n">
        <v>3</v>
      </c>
      <c r="C20" s="9" t="inlineStr">
        <is>
          <t>云资源/带宽</t>
        </is>
      </c>
      <c r="D20" s="9" t="n"/>
      <c r="E20" s="17" t="n"/>
      <c r="F20" s="18" t="n"/>
      <c r="G20" s="19">
        <f>IF(N(E20)*N(F20)=0,0,E20*F20)</f>
        <v/>
      </c>
      <c r="H20" s="9" t="n"/>
    </row>
    <row r="21">
      <c r="B21" s="16" t="n">
        <v>4</v>
      </c>
      <c r="C21" s="9" t="inlineStr">
        <is>
          <t>差旅</t>
        </is>
      </c>
      <c r="D21" s="21" t="inlineStr">
        <is>
          <t>人天数(单人天)</t>
        </is>
      </c>
      <c r="E21" s="17" t="n"/>
      <c r="F21" s="24">
        <f>'假设与输入'!$C$18</f>
        <v/>
      </c>
      <c r="G21" s="19">
        <f>IF(N(E21)*N(F21)=0,0,E21*F21)</f>
        <v/>
      </c>
      <c r="H21" s="9" t="n"/>
    </row>
    <row r="22">
      <c r="B22" s="16" t="n">
        <v>5</v>
      </c>
      <c r="C22" s="9" t="inlineStr">
        <is>
          <t>培训</t>
        </is>
      </c>
      <c r="D22" s="9" t="n"/>
      <c r="E22" s="17" t="n"/>
      <c r="F22" s="18" t="n"/>
      <c r="G22" s="19">
        <f>IF(N(E22)*N(F22)=0,0,E22*F22)</f>
        <v/>
      </c>
      <c r="H22" s="9" t="n"/>
    </row>
    <row r="23">
      <c r="B23" s="16" t="n">
        <v>6</v>
      </c>
      <c r="C23" s="9" t="n"/>
      <c r="D23" s="9" t="n"/>
      <c r="E23" s="17" t="n"/>
      <c r="F23" s="18" t="n"/>
      <c r="G23" s="19">
        <f>IF(N(E23)*N(F23)=0,0,E23*F23)</f>
        <v/>
      </c>
      <c r="H23" s="9" t="n"/>
    </row>
    <row r="24">
      <c r="B24" s="16" t="n">
        <v>7</v>
      </c>
      <c r="C24" s="9" t="n"/>
      <c r="D24" s="9" t="n"/>
      <c r="E24" s="17" t="n"/>
      <c r="F24" s="18" t="n"/>
      <c r="G24" s="19">
        <f>IF(N(E24)*N(F24)=0,0,E24*F24)</f>
        <v/>
      </c>
      <c r="H24" s="9" t="n"/>
    </row>
    <row r="25">
      <c r="B25" s="16" t="n">
        <v>8</v>
      </c>
      <c r="C25" s="9" t="n"/>
      <c r="D25" s="9" t="n"/>
      <c r="E25" s="17" t="n"/>
      <c r="F25" s="18" t="n"/>
      <c r="G25" s="19">
        <f>IF(N(E25)*N(F25)=0,0,E25*F25)</f>
        <v/>
      </c>
      <c r="H25" s="9" t="n"/>
    </row>
    <row r="26">
      <c r="B26" s="16" t="n">
        <v>9</v>
      </c>
      <c r="C26" s="9" t="n"/>
      <c r="D26" s="9" t="n"/>
      <c r="E26" s="17" t="n"/>
      <c r="F26" s="18" t="n"/>
      <c r="G26" s="19">
        <f>IF(N(E26)*N(F26)=0,0,E26*F26)</f>
        <v/>
      </c>
      <c r="H26" s="9" t="n"/>
    </row>
    <row r="27">
      <c r="B27" s="16" t="n">
        <v>10</v>
      </c>
      <c r="C27" s="9" t="n"/>
      <c r="D27" s="9" t="n"/>
      <c r="E27" s="17" t="n"/>
      <c r="F27" s="18" t="n"/>
      <c r="G27" s="19">
        <f>IF(N(E27)*N(F27)=0,0,E27*F27)</f>
        <v/>
      </c>
      <c r="H27" s="9" t="n"/>
    </row>
    <row r="28">
      <c r="B28" s="22" t="inlineStr">
        <is>
          <t>其他成本小计</t>
        </is>
      </c>
      <c r="G28" s="23">
        <f>SUM(G18:G27)</f>
        <v/>
      </c>
    </row>
    <row r="30">
      <c r="B30" s="7" t="inlineStr">
        <is>
          <t>C. 成本合计</t>
        </is>
      </c>
    </row>
    <row r="31">
      <c r="B31" s="3" t="inlineStr">
        <is>
          <t>人力成本</t>
        </is>
      </c>
      <c r="C31" s="20">
        <f>G14</f>
        <v/>
      </c>
    </row>
    <row r="32">
      <c r="B32" s="3" t="inlineStr">
        <is>
          <t>其他直接成本</t>
        </is>
      </c>
      <c r="C32" s="20">
        <f>G28</f>
        <v/>
      </c>
    </row>
    <row r="33">
      <c r="B33" s="3" t="inlineStr">
        <is>
          <t>直接成本小计</t>
        </is>
      </c>
      <c r="C33" s="19">
        <f>C31+C32</f>
        <v/>
      </c>
    </row>
    <row r="34">
      <c r="B34" s="3" t="inlineStr">
        <is>
          <t>风险预留</t>
        </is>
      </c>
      <c r="C34" s="20">
        <f>C33*'假设与输入'!$C$19</f>
        <v/>
      </c>
    </row>
    <row r="35">
      <c r="B35" s="3" t="inlineStr">
        <is>
          <t>销售费用</t>
        </is>
      </c>
      <c r="C35" s="20">
        <f>'收入明细'!$I$25*'假设与输入'!$C$20</f>
        <v/>
      </c>
    </row>
    <row r="36">
      <c r="B36" s="3" t="inlineStr">
        <is>
          <t>总成本</t>
        </is>
      </c>
      <c r="C36" s="26">
        <f>C33+C34+C35</f>
        <v/>
      </c>
    </row>
  </sheetData>
  <mergeCells count="2">
    <mergeCell ref="B28:F28"/>
    <mergeCell ref="B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>
      <c r="B1" s="1" t="inlineStr">
        <is>
          <t>毛利汇总</t>
        </is>
      </c>
    </row>
    <row r="3">
      <c r="B3" s="7" t="inlineStr">
        <is>
          <t>一、核心结果</t>
        </is>
      </c>
    </row>
    <row r="4">
      <c r="B4" s="8" t="inlineStr">
        <is>
          <t>指标</t>
        </is>
      </c>
      <c r="C4" s="8" t="inlineStr">
        <is>
          <t>金额</t>
        </is>
      </c>
      <c r="D4" s="8" t="inlineStr">
        <is>
          <t>占收入比</t>
        </is>
      </c>
    </row>
    <row r="5">
      <c r="B5" s="3" t="inlineStr">
        <is>
          <t>标准报价合计</t>
        </is>
      </c>
      <c r="C5" s="20">
        <f>'收入明细'!$H$25</f>
        <v/>
      </c>
    </row>
    <row r="6">
      <c r="B6" s="3" t="inlineStr">
        <is>
          <t>折后收入(不含税)</t>
        </is>
      </c>
      <c r="C6" s="20">
        <f>'收入明细'!$I$25</f>
        <v/>
      </c>
    </row>
    <row r="7">
      <c r="B7" s="3" t="inlineStr">
        <is>
          <t>总成本</t>
        </is>
      </c>
      <c r="C7" s="20">
        <f>'成本明细'!$C$36</f>
        <v/>
      </c>
      <c r="D7" s="27">
        <f>IF(C6=0,0,C7/C6)</f>
        <v/>
      </c>
    </row>
    <row r="8">
      <c r="B8" s="3" t="inlineStr">
        <is>
          <t>毛利</t>
        </is>
      </c>
      <c r="C8" s="28">
        <f>C6-C7</f>
        <v/>
      </c>
      <c r="D8" s="27">
        <f>IF(C6=0,0,C8/C6)</f>
        <v/>
      </c>
    </row>
    <row r="9">
      <c r="B9" s="29" t="inlineStr">
        <is>
          <t>毛利率</t>
        </is>
      </c>
      <c r="C9" s="30">
        <f>IF(C6=0,0,C8/C6)</f>
        <v/>
      </c>
    </row>
    <row r="10">
      <c r="B10" s="3" t="inlineStr">
        <is>
          <t>是否达到毛利红线</t>
        </is>
      </c>
      <c r="C10" s="31">
        <f>IF(C6=0,"待填数据",IF(C9&gt;='假设与输入'!$C$14,"✅ 达标","⚠️ 低于红线,需申请"))</f>
        <v/>
      </c>
      <c r="D10" s="10">
        <f>"红线 "&amp;TEXT('假设与输入'!$C$14,"0.0%")</f>
        <v/>
      </c>
    </row>
    <row r="12">
      <c r="B12" s="7" t="inlineStr">
        <is>
          <t>二、敏感性分析:折扣率 → 毛利率</t>
        </is>
      </c>
    </row>
    <row r="13">
      <c r="B13" s="10" t="inlineStr">
        <is>
          <t>在当前成本不变的前提下,不同整体折扣率对应的毛利与毛利率</t>
        </is>
      </c>
    </row>
    <row r="14">
      <c r="B14" s="8" t="inlineStr">
        <is>
          <t>折扣率</t>
        </is>
      </c>
      <c r="C14" s="8" t="inlineStr">
        <is>
          <t>折后收入</t>
        </is>
      </c>
      <c r="D14" s="8" t="inlineStr">
        <is>
          <t>毛利</t>
        </is>
      </c>
      <c r="E14" s="8" t="inlineStr">
        <is>
          <t>毛利率</t>
        </is>
      </c>
      <c r="F14" s="8" t="inlineStr">
        <is>
          <t>是否达标</t>
        </is>
      </c>
    </row>
    <row r="15">
      <c r="B15" s="15" t="n">
        <v>0</v>
      </c>
      <c r="C15" s="19">
        <f>$C$5*(1-B15)</f>
        <v/>
      </c>
      <c r="D15" s="19">
        <f>C15-$C$7</f>
        <v/>
      </c>
      <c r="E15" s="27">
        <f>IF(C15=0,0,D15/C15)</f>
        <v/>
      </c>
      <c r="F15" s="32">
        <f>IF(C15=0,"-",IF(E15&gt;='假设与输入'!$C$14,"✅","⚠️"))</f>
        <v/>
      </c>
    </row>
    <row r="16">
      <c r="B16" s="15" t="n">
        <v>0.05</v>
      </c>
      <c r="C16" s="19">
        <f>$C$5*(1-B16)</f>
        <v/>
      </c>
      <c r="D16" s="19">
        <f>C16-$C$7</f>
        <v/>
      </c>
      <c r="E16" s="27">
        <f>IF(C16=0,0,D16/C16)</f>
        <v/>
      </c>
      <c r="F16" s="32">
        <f>IF(C16=0,"-",IF(E16&gt;='假设与输入'!$C$14,"✅","⚠️"))</f>
        <v/>
      </c>
    </row>
    <row r="17">
      <c r="B17" s="15" t="n">
        <v>0.1</v>
      </c>
      <c r="C17" s="19">
        <f>$C$5*(1-B17)</f>
        <v/>
      </c>
      <c r="D17" s="19">
        <f>C17-$C$7</f>
        <v/>
      </c>
      <c r="E17" s="27">
        <f>IF(C17=0,0,D17/C17)</f>
        <v/>
      </c>
      <c r="F17" s="32">
        <f>IF(C17=0,"-",IF(E17&gt;='假设与输入'!$C$14,"✅","⚠️"))</f>
        <v/>
      </c>
    </row>
    <row r="18">
      <c r="B18" s="15" t="n">
        <v>0.15</v>
      </c>
      <c r="C18" s="19">
        <f>$C$5*(1-B18)</f>
        <v/>
      </c>
      <c r="D18" s="19">
        <f>C18-$C$7</f>
        <v/>
      </c>
      <c r="E18" s="27">
        <f>IF(C18=0,0,D18/C18)</f>
        <v/>
      </c>
      <c r="F18" s="32">
        <f>IF(C18=0,"-",IF(E18&gt;='假设与输入'!$C$14,"✅","⚠️"))</f>
        <v/>
      </c>
    </row>
    <row r="19">
      <c r="B19" s="15" t="n">
        <v>0.2</v>
      </c>
      <c r="C19" s="19">
        <f>$C$5*(1-B19)</f>
        <v/>
      </c>
      <c r="D19" s="19">
        <f>C19-$C$7</f>
        <v/>
      </c>
      <c r="E19" s="27">
        <f>IF(C19=0,0,D19/C19)</f>
        <v/>
      </c>
      <c r="F19" s="32">
        <f>IF(C19=0,"-",IF(E19&gt;='假设与输入'!$C$14,"✅","⚠️"))</f>
        <v/>
      </c>
    </row>
    <row r="20">
      <c r="B20" s="15" t="n">
        <v>0.25</v>
      </c>
      <c r="C20" s="19">
        <f>$C$5*(1-B20)</f>
        <v/>
      </c>
      <c r="D20" s="19">
        <f>C20-$C$7</f>
        <v/>
      </c>
      <c r="E20" s="27">
        <f>IF(C20=0,0,D20/C20)</f>
        <v/>
      </c>
      <c r="F20" s="32">
        <f>IF(C20=0,"-",IF(E20&gt;='假设与输入'!$C$14,"✅","⚠️"))</f>
        <v/>
      </c>
    </row>
    <row r="21">
      <c r="B21" s="15" t="n">
        <v>0.3</v>
      </c>
      <c r="C21" s="19">
        <f>$C$5*(1-B21)</f>
        <v/>
      </c>
      <c r="D21" s="19">
        <f>C21-$C$7</f>
        <v/>
      </c>
      <c r="E21" s="27">
        <f>IF(C21=0,0,D21/C21)</f>
        <v/>
      </c>
      <c r="F21" s="32">
        <f>IF(C21=0,"-",IF(E21&gt;='假设与输入'!$C$14,"✅","⚠️"))</f>
        <v/>
      </c>
    </row>
    <row r="23">
      <c r="B23" s="7" t="inlineStr">
        <is>
          <t>三、成本结构</t>
        </is>
      </c>
    </row>
    <row r="24">
      <c r="B24" s="8" t="inlineStr">
        <is>
          <t>成本项</t>
        </is>
      </c>
      <c r="C24" s="8" t="inlineStr">
        <is>
          <t>金额</t>
        </is>
      </c>
      <c r="D24" s="8" t="inlineStr">
        <is>
          <t>占总成本比</t>
        </is>
      </c>
    </row>
    <row r="25">
      <c r="B25" s="33" t="inlineStr">
        <is>
          <t>人力成本</t>
        </is>
      </c>
      <c r="C25" s="20">
        <f>'成本明细'!$G$14</f>
        <v/>
      </c>
      <c r="D25" s="27">
        <f>IF($C$7=0,0,C25/$C$7)</f>
        <v/>
      </c>
    </row>
    <row r="26">
      <c r="B26" s="33" t="inlineStr">
        <is>
          <t>其他直接成本</t>
        </is>
      </c>
      <c r="C26" s="20">
        <f>'成本明细'!$G$28</f>
        <v/>
      </c>
      <c r="D26" s="27">
        <f>IF($C$7=0,0,C26/$C$7)</f>
        <v/>
      </c>
    </row>
    <row r="27">
      <c r="B27" s="33" t="inlineStr">
        <is>
          <t>风险预留</t>
        </is>
      </c>
      <c r="C27" s="20">
        <f>'成本明细'!$C$34</f>
        <v/>
      </c>
      <c r="D27" s="27">
        <f>IF($C$7=0,0,C27/$C$7)</f>
        <v/>
      </c>
    </row>
    <row r="28">
      <c r="B28" s="33" t="inlineStr">
        <is>
          <t>销售费用</t>
        </is>
      </c>
      <c r="C28" s="20">
        <f>'成本明细'!$C$35</f>
        <v/>
      </c>
      <c r="D28" s="27">
        <f>IF($C$7=0,0,C28/$C$7)</f>
        <v/>
      </c>
    </row>
    <row r="30">
      <c r="B30" s="10" t="inlineStr">
        <is>
          <t>说明:本表为售前内部测算,示例数值仅演示公式,正式报价以商务/财务审批为准。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2026-07-26T08:02:33Z</dcterms:created>
  <dcterms:modified xmlns:dcterms="http://purl.org/dc/terms/" xmlns:xsi="http://www.w3.org/2001/XMLSchema-instance" xsi:type="dcterms:W3CDTF">2026-07-26T08:02:33Z</dcterms:modified>
</cp:coreProperties>
</file>